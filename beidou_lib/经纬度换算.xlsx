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4020" yWindow="2205" windowWidth="22620" windowHeight="11385"/>
  </bookViews>
  <sheets>
    <sheet name="Sheet1" sheetId="1" r:id="rId1"/>
    <sheet name="Sheet2" sheetId="2" r:id="rId2"/>
  </sheets>
  <calcPr calcId="162913"/>
</workbook>
</file>

<file path=xl/calcChain.xml><?xml version="1.0" encoding="utf-8"?>
<calcChain xmlns="http://schemas.openxmlformats.org/spreadsheetml/2006/main">
  <c r="J6" i="2" l="1"/>
  <c r="I6" i="2"/>
  <c r="J7" i="2"/>
  <c r="I7" i="2"/>
  <c r="E4" i="1"/>
  <c r="E3" i="1"/>
</calcChain>
</file>

<file path=xl/sharedStrings.xml><?xml version="1.0" encoding="utf-8"?>
<sst xmlns="http://schemas.openxmlformats.org/spreadsheetml/2006/main" count="9" uniqueCount="8">
  <si>
    <t>经度（GPS数据）：</t>
    <phoneticPr fontId="1" type="noConversion"/>
  </si>
  <si>
    <t>转化得到：</t>
    <phoneticPr fontId="1" type="noConversion"/>
  </si>
  <si>
    <t>纬度（GPS数据）：</t>
    <phoneticPr fontId="1" type="noConversion"/>
  </si>
  <si>
    <t>计算依据：  abcde.fghi
abc+(de/60)+(fghi/600000)</t>
    <phoneticPr fontId="1" type="noConversion"/>
  </si>
  <si>
    <t>结果</t>
    <phoneticPr fontId="1" type="noConversion"/>
  </si>
  <si>
    <t>请输入</t>
    <phoneticPr fontId="1" type="noConversion"/>
  </si>
  <si>
    <t>前</t>
    <phoneticPr fontId="1" type="noConversion"/>
  </si>
  <si>
    <t>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</si>
</sst>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0_ "/>
    <numFmt numFmtId="177" formatCode="0.000000_ "/>
    <numFmt numFmtId="178" formatCode="0.00000_ "/>
  </numFmts>
  <fonts count="3" x14ac:knownFonts="1">
    <font>
      <sz val="11"/>
      <color theme="1"/>
      <name val="华文楷体"/>
      <family val="2"/>
      <charset val="134"/>
      <scheme val="minor"/>
    </font>
    <font>
      <sz val="9"/>
      <name val="华文楷体"/>
      <family val="2"/>
      <charset val="134"/>
      <scheme val="minor"/>
    </font>
    <font>
      <sz val="18"/>
      <color theme="1"/>
      <name val="华文楷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76" fontId="0" fillId="3" borderId="1" xfId="0" applyNumberFormat="1" applyFill="1" applyBorder="1" applyAlignment="1" applyProtection="1">
      <alignment horizontal="left" vertical="center"/>
      <protection locked="0"/>
    </xf>
    <xf numFmtId="176" fontId="0" fillId="3" borderId="2" xfId="0" applyNumberFormat="1" applyFill="1" applyBorder="1" applyAlignment="1" applyProtection="1">
      <alignment horizontal="left" vertical="center"/>
      <protection locked="0"/>
    </xf>
    <xf numFmtId="177" fontId="0" fillId="2" borderId="1" xfId="0" applyNumberFormat="1" applyFill="1" applyBorder="1">
      <alignment vertical="center"/>
    </xf>
    <xf numFmtId="177" fontId="0" fillId="2" borderId="2" xfId="0" applyNumberFormat="1" applyFill="1" applyBorder="1">
      <alignment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0" xfId="0" applyBorder="1">
      <alignment vertical="center"/>
    </xf>
    <xf numFmtId="178" fontId="0" fillId="0" borderId="0" xfId="0" applyNumberFormat="1">
      <alignment vertical="center"/>
    </xf>
    <xf numFmtId="178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8</xdr:row>
      <xdr:rowOff>38100</xdr:rowOff>
    </xdr:from>
    <xdr:to>
      <xdr:col>5</xdr:col>
      <xdr:colOff>1828800</xdr:colOff>
      <xdr:row>12</xdr:row>
      <xdr:rowOff>76200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6825" y="2343150"/>
          <a:ext cx="3609975" cy="1295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龙腾四海">
  <a:themeElements>
    <a:clrScheme name="龙腾四海">
      <a:dk1>
        <a:sysClr val="windowText" lastClr="000000"/>
      </a:dk1>
      <a:lt1>
        <a:sysClr val="window" lastClr="FFFFFF"/>
      </a:lt1>
      <a:dk2>
        <a:srgbClr val="001B36"/>
      </a:dk2>
      <a:lt2>
        <a:srgbClr val="EDF8FE"/>
      </a:lt2>
      <a:accent1>
        <a:srgbClr val="477AB1"/>
      </a:accent1>
      <a:accent2>
        <a:srgbClr val="51848E"/>
      </a:accent2>
      <a:accent3>
        <a:srgbClr val="7B9B57"/>
      </a:accent3>
      <a:accent4>
        <a:srgbClr val="8B8D8C"/>
      </a:accent4>
      <a:accent5>
        <a:srgbClr val="8B7396"/>
      </a:accent5>
      <a:accent6>
        <a:srgbClr val="E89A53"/>
      </a:accent6>
      <a:hlink>
        <a:srgbClr val="0080FF"/>
      </a:hlink>
      <a:folHlink>
        <a:srgbClr val="FF00FF"/>
      </a:folHlink>
    </a:clrScheme>
    <a:fontScheme name="龙腾四海">
      <a:majorFont>
        <a:latin typeface="Maiandra GD"/>
        <a:ea typeface=""/>
        <a:cs typeface=""/>
        <a:font script="CYRL" typeface="Times New Roman"/>
        <a:font script="GREK" typeface="Times New Roman"/>
        <a:font script="Jpan" typeface="ＭＳ Ｐゴシック"/>
        <a:font script="Hang" typeface="HY중고딕"/>
        <a:font script="Hans" typeface="隶书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ambria"/>
        <a:ea typeface=""/>
        <a:cs typeface=""/>
        <a:font script="Jpan" typeface="ＭＳ Ｐ明朝"/>
        <a:font script="Hang" typeface="HY견명조"/>
        <a:font script="Hans" typeface="华文楷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龙腾四海">
      <a:fillStyleLst>
        <a:solidFill>
          <a:schemeClr val="phClr">
            <a:tint val="100000"/>
            <a:shade val="100000"/>
            <a:hueMod val="100000"/>
            <a:satMod val="100000"/>
          </a:schemeClr>
        </a:solidFill>
        <a:gradFill rotWithShape="1">
          <a:gsLst>
            <a:gs pos="0">
              <a:schemeClr val="phClr">
                <a:tint val="100000"/>
                <a:shade val="50000"/>
                <a:hueMod val="100000"/>
                <a:satMod val="250000"/>
              </a:schemeClr>
            </a:gs>
            <a:gs pos="75000">
              <a:schemeClr val="phClr">
                <a:tint val="80000"/>
                <a:shade val="100000"/>
                <a:hueMod val="100000"/>
                <a:satMod val="375000"/>
              </a:schemeClr>
            </a:gs>
            <a:gs pos="100000">
              <a:schemeClr val="phClr">
                <a:tint val="50000"/>
                <a:shade val="100000"/>
                <a:hueMod val="100000"/>
                <a:satMod val="5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100000"/>
                <a:shade val="50000"/>
                <a:hueMod val="100000"/>
                <a:satMod val="100000"/>
              </a:schemeClr>
              <a:schemeClr val="phClr">
                <a:tint val="100000"/>
                <a:shade val="75000"/>
                <a:hueMod val="100000"/>
                <a:satMod val="100000"/>
              </a:schemeClr>
            </a:duotone>
          </a:blip>
          <a:tile tx="0" ty="0" sx="50000" sy="50000" flip="none" algn="ctr"/>
        </a:blipFill>
      </a:fillStyleLst>
      <a:lnStyleLst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>
              <a:schemeClr val="phClr">
                <a:tint val="100000"/>
                <a:shade val="100000"/>
                <a:hueMod val="100000"/>
                <a:satMod val="100000"/>
              </a:schemeClr>
            </a:glow>
          </a:effectLst>
        </a:effectStyle>
        <a:effectStyle>
          <a:effectLst>
            <a:glow>
              <a:schemeClr val="phClr">
                <a:tint val="100000"/>
                <a:shade val="100000"/>
                <a:hueMod val="100000"/>
                <a:satMod val="100000"/>
              </a:schemeClr>
            </a:glow>
          </a:effectLst>
          <a:scene3d>
            <a:camera prst="orthographicFront" fov="0">
              <a:rot lat="0" lon="0" rev="0"/>
            </a:camera>
            <a:lightRig rig="threePt" dir="tl">
              <a:rot lat="0" lon="0" rev="0"/>
            </a:lightRig>
          </a:scene3d>
          <a:sp3d prstMaterial="metal">
            <a:bevelT w="12700" h="12700" prst="relaxedInset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glow>
              <a:schemeClr val="phClr">
                <a:tint val="100000"/>
                <a:shade val="100000"/>
                <a:hueMod val="100000"/>
                <a:satMod val="100000"/>
              </a:schemeClr>
            </a:glow>
            <a:outerShdw blurRad="44450" dist="50800" dir="3300000" sx="99000" sy="99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contrasting" dir="tl">
              <a:rot lat="0" lon="0" rev="14220000"/>
            </a:lightRig>
          </a:scene3d>
          <a:sp3d prstMaterial="dkEdge">
            <a:bevelT w="63500" h="63500"/>
            <a:bevelB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</a:effectStyleLst>
      <a:bgFillStyleLst>
        <a:solidFill>
          <a:schemeClr val="phClr">
            <a:tint val="100000"/>
            <a:shade val="100000"/>
            <a:hueMod val="100000"/>
            <a:satMod val="100000"/>
          </a:schemeClr>
        </a:solidFill>
        <a:gradFill rotWithShape="1">
          <a:gsLst>
            <a:gs pos="0">
              <a:schemeClr val="bg1">
                <a:tint val="100000"/>
                <a:shade val="100000"/>
                <a:hueMod val="100000"/>
                <a:satMod val="150000"/>
              </a:schemeClr>
            </a:gs>
            <a:gs pos="55000">
              <a:schemeClr val="bg1">
                <a:tint val="100000"/>
                <a:shade val="90000"/>
                <a:hueMod val="100000"/>
                <a:satMod val="375000"/>
              </a:schemeClr>
            </a:gs>
            <a:gs pos="100000">
              <a:schemeClr val="phClr">
                <a:tint val="88000"/>
                <a:shade val="100000"/>
                <a:hueMod val="100000"/>
                <a:satMod val="500000"/>
              </a:schemeClr>
            </a:gs>
          </a:gsLst>
          <a:lin ang="5400000" scaled="1"/>
        </a:gradFill>
        <a:blipFill>
          <a:blip xmlns:r="http://schemas.openxmlformats.org/officeDocument/2006/relationships" r:embed="rId2">
            <a:duotone>
              <a:schemeClr val="phClr">
                <a:shade val="30000"/>
                <a:satMod val="555000"/>
              </a:schemeClr>
              <a:schemeClr val="phClr">
                <a:tint val="96000"/>
                <a:satMod val="120000"/>
              </a:schemeClr>
            </a:duotone>
          </a:blip>
          <a:stretch>
            <a:fillRect/>
          </a:stretch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zoomScale="205" zoomScaleNormal="205" workbookViewId="0">
      <selection activeCell="C3" sqref="C3"/>
    </sheetView>
  </sheetViews>
  <sheetFormatPr defaultColWidth="9.140625" defaultRowHeight="16.5" x14ac:dyDescent="0.3"/>
  <cols>
    <col min="1" max="1" width="1.85546875" customWidth="1"/>
    <col min="2" max="2" width="15.7109375" customWidth="1"/>
    <col min="3" max="3" width="12" customWidth="1"/>
    <col min="4" max="4" width="10" customWidth="1"/>
    <col min="5" max="5" width="12.28515625" customWidth="1"/>
  </cols>
  <sheetData>
    <row r="1" spans="2:5" ht="17.25" customHeight="1" thickBot="1" x14ac:dyDescent="0.35"/>
    <row r="2" spans="2:5" ht="17.25" thickBot="1" x14ac:dyDescent="0.35">
      <c r="B2" s="7"/>
      <c r="C2" s="8" t="s">
        <v>5</v>
      </c>
      <c r="D2" s="9"/>
      <c r="E2" s="10" t="s">
        <v>4</v>
      </c>
    </row>
    <row r="3" spans="2:5" x14ac:dyDescent="0.3">
      <c r="B3" s="6" t="s">
        <v>0</v>
      </c>
      <c r="C3" s="1">
        <v>11301.59093</v>
      </c>
      <c r="D3" s="11" t="s">
        <v>1</v>
      </c>
      <c r="E3" s="3">
        <f>INT((C3/100))+MOD(((INT(C3))/100),(INT((C3/100))))*100/60+(MOD(C3,1))/60</f>
        <v>113.02651550000002</v>
      </c>
    </row>
    <row r="4" spans="2:5" ht="17.25" thickBot="1" x14ac:dyDescent="0.35">
      <c r="B4" s="5" t="s">
        <v>2</v>
      </c>
      <c r="C4" s="2">
        <v>2309.4030400000001</v>
      </c>
      <c r="D4" s="12" t="s">
        <v>1</v>
      </c>
      <c r="E4" s="4">
        <f>INT((C4/100))+MOD(((INT(C4))/100),(INT((C4/100))))*100/60+(MOD(C4,1))/60</f>
        <v>23.156717333333333</v>
      </c>
    </row>
    <row r="6" spans="2:5" ht="35.25" customHeight="1" x14ac:dyDescent="0.3">
      <c r="B6" s="16" t="s">
        <v>3</v>
      </c>
      <c r="C6" s="16"/>
      <c r="D6" s="16"/>
      <c r="E6" s="16"/>
    </row>
  </sheetData>
  <sheetProtection sheet="1" objects="1" scenarios="1" selectLockedCells="1"/>
  <mergeCells count="1">
    <mergeCell ref="B6:E6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N19"/>
  <sheetViews>
    <sheetView topLeftCell="A4" workbookViewId="0">
      <selection activeCell="G7" sqref="G7"/>
    </sheetView>
  </sheetViews>
  <sheetFormatPr defaultRowHeight="16.5" x14ac:dyDescent="0.3"/>
  <cols>
    <col min="6" max="6" width="35.85546875" style="13" customWidth="1"/>
    <col min="7" max="7" width="41.5703125" customWidth="1"/>
    <col min="10" max="10" width="21.140625" customWidth="1"/>
  </cols>
  <sheetData>
    <row r="3" spans="6:14" ht="24.75" x14ac:dyDescent="0.3">
      <c r="F3" s="14"/>
      <c r="G3" s="15"/>
      <c r="H3" s="15"/>
      <c r="I3" s="15"/>
      <c r="J3" s="15"/>
      <c r="K3" s="15"/>
      <c r="L3" s="15"/>
      <c r="M3" s="15"/>
      <c r="N3" s="15"/>
    </row>
    <row r="4" spans="6:14" ht="24.75" x14ac:dyDescent="0.3">
      <c r="F4" s="14"/>
      <c r="G4" s="15"/>
      <c r="H4" s="15"/>
      <c r="I4" s="15"/>
      <c r="J4" s="15"/>
      <c r="K4" s="15"/>
      <c r="L4" s="15"/>
      <c r="M4" s="15"/>
      <c r="N4" s="15"/>
    </row>
    <row r="5" spans="6:14" ht="24.75" x14ac:dyDescent="0.3">
      <c r="F5" s="14"/>
      <c r="G5" s="15"/>
      <c r="H5" s="15"/>
      <c r="I5" s="15"/>
      <c r="J5" s="15"/>
      <c r="K5" s="15"/>
      <c r="L5" s="15"/>
      <c r="M5" s="15"/>
      <c r="N5" s="15"/>
    </row>
    <row r="6" spans="6:14" ht="24.75" x14ac:dyDescent="0.3">
      <c r="F6" s="14">
        <v>11707.89165</v>
      </c>
      <c r="G6" s="15">
        <v>117.131528</v>
      </c>
      <c r="H6" s="15">
        <v>117</v>
      </c>
      <c r="I6" s="15">
        <f>7/60</f>
        <v>0.11666666666666667</v>
      </c>
      <c r="J6" s="15">
        <f>89165/600000</f>
        <v>0.14860833333333334</v>
      </c>
      <c r="K6" s="15"/>
      <c r="L6" s="15"/>
      <c r="M6" s="15"/>
      <c r="N6" s="15" t="s">
        <v>7</v>
      </c>
    </row>
    <row r="7" spans="6:14" ht="24.75" x14ac:dyDescent="0.3">
      <c r="F7" s="14">
        <v>3907.1053200000001</v>
      </c>
      <c r="G7" s="15">
        <v>39.118422000000002</v>
      </c>
      <c r="H7" s="15">
        <v>39</v>
      </c>
      <c r="I7" s="15">
        <f>7/60</f>
        <v>0.11666666666666667</v>
      </c>
      <c r="J7" s="15">
        <f>118422/600000</f>
        <v>0.19736999999999999</v>
      </c>
      <c r="K7" s="15"/>
      <c r="L7" s="15"/>
      <c r="M7" s="15"/>
      <c r="N7" s="15" t="s">
        <v>6</v>
      </c>
    </row>
    <row r="8" spans="6:14" ht="24.75" x14ac:dyDescent="0.3">
      <c r="F8" s="14"/>
      <c r="G8" s="15">
        <v>39.11719737</v>
      </c>
      <c r="H8" s="15"/>
      <c r="I8" s="15"/>
      <c r="J8" s="15"/>
      <c r="K8" s="15"/>
      <c r="L8" s="15"/>
      <c r="M8" s="15"/>
      <c r="N8" s="15"/>
    </row>
    <row r="9" spans="6:14" ht="24.75" x14ac:dyDescent="0.3">
      <c r="F9" s="14"/>
      <c r="G9" s="15"/>
      <c r="H9" s="15"/>
      <c r="I9" s="15"/>
      <c r="J9" s="15"/>
      <c r="K9" s="15"/>
      <c r="L9" s="15"/>
      <c r="M9" s="15"/>
      <c r="N9" s="15"/>
    </row>
    <row r="10" spans="6:14" ht="24.75" x14ac:dyDescent="0.3">
      <c r="F10" s="14"/>
      <c r="G10" s="15">
        <v>117.117149</v>
      </c>
      <c r="H10" s="15"/>
      <c r="I10" s="15"/>
      <c r="J10" s="15"/>
      <c r="K10" s="15"/>
      <c r="L10" s="15"/>
      <c r="M10" s="15"/>
      <c r="N10" s="15"/>
    </row>
    <row r="11" spans="6:14" ht="24.75" x14ac:dyDescent="0.3">
      <c r="F11" s="14"/>
      <c r="G11" s="15"/>
      <c r="H11" s="15"/>
      <c r="I11" s="15"/>
      <c r="J11" s="15"/>
      <c r="K11" s="15"/>
      <c r="L11" s="15"/>
      <c r="M11" s="15"/>
      <c r="N11" s="15"/>
    </row>
    <row r="12" spans="6:14" ht="24.75" x14ac:dyDescent="0.3">
      <c r="F12" s="14"/>
      <c r="G12" s="15"/>
      <c r="H12" s="15"/>
      <c r="I12" s="15"/>
      <c r="J12" s="15"/>
      <c r="K12" s="15"/>
      <c r="L12" s="15"/>
      <c r="M12" s="15"/>
      <c r="N12" s="15"/>
    </row>
    <row r="13" spans="6:14" ht="24.75" x14ac:dyDescent="0.3">
      <c r="F13" s="14"/>
      <c r="G13" s="15"/>
      <c r="H13" s="15"/>
      <c r="I13" s="15"/>
      <c r="J13" s="15"/>
      <c r="K13" s="15"/>
      <c r="L13" s="15"/>
      <c r="M13" s="15"/>
      <c r="N13" s="15"/>
    </row>
    <row r="14" spans="6:14" ht="24.75" x14ac:dyDescent="0.3">
      <c r="F14" s="14"/>
      <c r="G14" s="15"/>
      <c r="H14" s="15"/>
      <c r="I14" s="15"/>
      <c r="J14" s="15"/>
      <c r="K14" s="15"/>
      <c r="L14" s="15"/>
      <c r="M14" s="15"/>
      <c r="N14" s="15"/>
    </row>
    <row r="15" spans="6:14" ht="24.75" x14ac:dyDescent="0.3">
      <c r="F15" s="14"/>
      <c r="G15" s="15"/>
      <c r="H15" s="15"/>
      <c r="I15" s="15"/>
      <c r="J15" s="15"/>
      <c r="K15" s="15"/>
      <c r="L15" s="15"/>
      <c r="M15" s="15"/>
      <c r="N15" s="15"/>
    </row>
    <row r="16" spans="6:14" ht="24.75" x14ac:dyDescent="0.3">
      <c r="F16" s="14"/>
      <c r="G16" s="15"/>
      <c r="H16" s="15"/>
      <c r="I16" s="15"/>
      <c r="J16" s="15"/>
      <c r="K16" s="15"/>
      <c r="L16" s="15"/>
      <c r="M16" s="15"/>
      <c r="N16" s="15"/>
    </row>
    <row r="17" spans="6:14" ht="24.75" x14ac:dyDescent="0.3">
      <c r="F17" s="14"/>
      <c r="G17" s="15"/>
      <c r="H17" s="15"/>
      <c r="I17" s="15"/>
      <c r="J17" s="15"/>
      <c r="K17" s="15"/>
      <c r="L17" s="15"/>
      <c r="M17" s="15"/>
      <c r="N17" s="15"/>
    </row>
    <row r="18" spans="6:14" ht="24.75" x14ac:dyDescent="0.3">
      <c r="F18" s="14"/>
      <c r="G18" s="15"/>
      <c r="H18" s="15"/>
      <c r="I18" s="15"/>
      <c r="J18" s="15"/>
      <c r="K18" s="15"/>
      <c r="L18" s="15"/>
      <c r="M18" s="15"/>
      <c r="N18" s="15"/>
    </row>
    <row r="19" spans="6:14" ht="24.75" x14ac:dyDescent="0.3">
      <c r="F19" s="14"/>
      <c r="G19" s="15"/>
      <c r="H19" s="15"/>
      <c r="I19" s="15"/>
      <c r="J19" s="15"/>
      <c r="K19" s="15"/>
      <c r="L19" s="15"/>
      <c r="M19" s="15"/>
      <c r="N19" s="15"/>
    </row>
  </sheetData>
  <phoneticPr fontId="1" type="noConversion"/>
  <pageMargins left="0.7" right="0.7" top="0.75" bottom="0.75" header="0.3" footer="0.3"/>
  <pageSetup paperSize="256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2025-09-25T03:07:04Z</dcterms:modified>
</cp:coreProperties>
</file>